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tools\SBD\"/>
    </mc:Choice>
  </mc:AlternateContent>
  <xr:revisionPtr revIDLastSave="0" documentId="13_ncr:1_{CCB59D58-34E6-432F-B706-D88D4480383C}" xr6:coauthVersionLast="47" xr6:coauthVersionMax="47" xr10:uidLastSave="{00000000-0000-0000-0000-000000000000}"/>
  <bookViews>
    <workbookView xWindow="-120" yWindow="-120" windowWidth="29040" windowHeight="15720" xr2:uid="{019DCFA9-DEAB-4996-B784-E73F08FEEA31}"/>
  </bookViews>
  <sheets>
    <sheet name="Học-sinh" sheetId="1" r:id="rId1"/>
    <sheet name="Điểm-thi" sheetId="2" r:id="rId2"/>
    <sheet name="Xếp-điểm-th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O3" i="1"/>
  <c r="O4" i="1"/>
  <c r="O5" i="1"/>
  <c r="O2" i="1" l="1"/>
  <c r="A2" i="1" a="1"/>
  <c r="A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1" authorId="0" shapeId="0" xr:uid="{504DC58F-2E1B-48C5-B336-9E14506472C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BEBRAS: TỪ 1 --&gt; 6
AMC1012: 10 hoặc 12
VEO: VEO hoặc VEO_JUNIOR
kỳ thi không có cấp độ để trống</t>
        </r>
      </text>
    </comment>
    <comment ref="N1" authorId="0" shapeId="0" xr:uid="{B82A2148-A9C7-47D0-A6C7-7AE9BC96F7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Việt Nam để 0
nước ngoài để 1
KỲ THI NÀO CÓ ÍT QUÁ KHÔNG CẦN TÁCH PHÒNG THÌ BỎ QUA</t>
        </r>
      </text>
    </comment>
    <comment ref="O1" authorId="0" shapeId="0" xr:uid="{BB18F6F2-3F7A-45DB-AFFD-3B4E659A50F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cột này không cần điền.
Kéo công thức đến thí sinh cuối cùng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<sst xmlns="http://schemas.openxmlformats.org/spreadsheetml/2006/main" count="57" uniqueCount="47">
  <si>
    <t>STT</t>
  </si>
  <si>
    <t>ID gốc</t>
  </si>
  <si>
    <t>Họ và tên đệm</t>
  </si>
  <si>
    <t>Tên</t>
  </si>
  <si>
    <t>Ngày sinh</t>
  </si>
  <si>
    <t>Tháng sinh</t>
  </si>
  <si>
    <t>Năm sinh</t>
  </si>
  <si>
    <t>Giới tính</t>
  </si>
  <si>
    <t>Khối lớp</t>
  </si>
  <si>
    <t>Lớp</t>
  </si>
  <si>
    <t>Xã/Phường</t>
  </si>
  <si>
    <t>Tỉnh thành</t>
  </si>
  <si>
    <t>Cấp độ</t>
  </si>
  <si>
    <t>HS nước ngoài</t>
  </si>
  <si>
    <t>Điểm thi</t>
  </si>
  <si>
    <t>Phòng</t>
  </si>
  <si>
    <t>Số lượng hs/phòng</t>
  </si>
  <si>
    <t>…</t>
  </si>
  <si>
    <t>đây là sheet chứa số lượng phòng thi ở mỗi điểm và dung lượng từng phòng tương ứng</t>
  </si>
  <si>
    <t>cần điền đủ số phòng và dung lượng</t>
  </si>
  <si>
    <t>đây là sheet định vị điểm thi của từng vị trí theo cấp độ xã phường</t>
  </si>
  <si>
    <t>đây là sheet data chứa thông tin hs.</t>
  </si>
  <si>
    <t>Cụm</t>
  </si>
  <si>
    <t>V260358</t>
  </si>
  <si>
    <t>Nguyễn Văn</t>
  </si>
  <si>
    <t>A</t>
  </si>
  <si>
    <t>Nữ</t>
  </si>
  <si>
    <t>11A</t>
  </si>
  <si>
    <t>V007012</t>
  </si>
  <si>
    <t>Lê Trường</t>
  </si>
  <si>
    <t>An</t>
  </si>
  <si>
    <t>Nam</t>
  </si>
  <si>
    <t>6MT</t>
  </si>
  <si>
    <t>V013002</t>
  </si>
  <si>
    <t>Nguyễn Phú</t>
  </si>
  <si>
    <t>7A1</t>
  </si>
  <si>
    <t>V009005</t>
  </si>
  <si>
    <t>Phạm Châu Bảo</t>
  </si>
  <si>
    <t>7H3</t>
  </si>
  <si>
    <t>Gò Vấp</t>
  </si>
  <si>
    <t>Hồ Chí Minh</t>
  </si>
  <si>
    <t>Bồ Đề</t>
  </si>
  <si>
    <t>Hà Nội</t>
  </si>
  <si>
    <t>Từ Sơn</t>
  </si>
  <si>
    <t>Bắc Ninh</t>
  </si>
  <si>
    <t>Đại Mỗ</t>
  </si>
  <si>
    <t>Cột A không cần điền, gắn điểm thi cho mỗi cụm ở cột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</si>
</sst>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FF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3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CA25-FDF0-48C4-87A9-C7D96F642237}">
  <dimension ref="A1:P5"/>
  <sheetViews>
    <sheetView tabSelected="1" workbookViewId="0">
      <selection activeCell="S16" sqref="S16"/>
    </sheetView>
  </sheetViews>
  <sheetFormatPr defaultRowHeight="15" x14ac:dyDescent="0.25"/>
  <cols>
    <col min="1" max="1" width="7" style="10" bestFit="1" customWidth="1"/>
    <col min="2" max="2" width="11.85546875" style="10" customWidth="1"/>
    <col min="3" max="3" width="15.140625" style="1" customWidth="1"/>
    <col min="4" max="4" width="10" style="1" customWidth="1"/>
    <col min="5" max="7" width="8.5703125" style="10" customWidth="1"/>
    <col min="8" max="8" width="8.5703125" style="1" customWidth="1"/>
    <col min="9" max="9" width="8.5703125" style="10" customWidth="1"/>
    <col min="10" max="10" width="8.5703125" style="1" customWidth="1"/>
    <col min="11" max="12" width="11.85546875" style="1" customWidth="1"/>
    <col min="13" max="14" width="9.140625" style="10"/>
    <col min="15" max="15" width="27.42578125" style="1" customWidth="1"/>
    <col min="16" max="16384" width="9.140625" style="1"/>
  </cols>
  <sheetData>
    <row r="1" spans="1:16" s="2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8" t="s">
        <v>22</v>
      </c>
    </row>
    <row r="2" spans="1:16" x14ac:dyDescent="0.25">
      <c r="A2" s="10" cm="1">
        <f t="array" ref="A2:A5">_xlfn.SEQUENCE(COUNTA(B2:B50000))</f>
        <v>1</v>
      </c>
      <c r="B2" s="10" t="s">
        <v>23</v>
      </c>
      <c r="C2" s="1" t="s">
        <v>24</v>
      </c>
      <c r="D2" s="1" t="s">
        <v>25</v>
      </c>
      <c r="E2" s="10">
        <v>4</v>
      </c>
      <c r="F2" s="10">
        <v>3</v>
      </c>
      <c r="G2" s="10">
        <v>2008</v>
      </c>
      <c r="H2" s="1" t="s">
        <v>26</v>
      </c>
      <c r="I2" s="10">
        <v>11</v>
      </c>
      <c r="J2" s="1" t="s">
        <v>27</v>
      </c>
      <c r="K2" s="1" t="s">
        <v>39</v>
      </c>
      <c r="L2" s="1" t="s">
        <v>40</v>
      </c>
      <c r="M2" s="10">
        <v>6</v>
      </c>
      <c r="N2" s="10">
        <v>0</v>
      </c>
      <c r="O2" s="1" t="str">
        <f>_xlfn.TEXTJOIN("-",TRUE,L2,K2)</f>
        <v>Hồ Chí Minh-Gò Vấp</v>
      </c>
      <c r="P2" s="6" t="s">
        <v>21</v>
      </c>
    </row>
    <row r="3" spans="1:16" x14ac:dyDescent="0.25">
      <c r="A3" s="10">
        <v>2</v>
      </c>
      <c r="B3" s="10" t="s">
        <v>28</v>
      </c>
      <c r="C3" s="1" t="s">
        <v>29</v>
      </c>
      <c r="D3" s="1" t="s">
        <v>30</v>
      </c>
      <c r="E3" s="10">
        <v>20</v>
      </c>
      <c r="F3" s="10">
        <v>3</v>
      </c>
      <c r="G3" s="10">
        <v>2014</v>
      </c>
      <c r="H3" s="1" t="s">
        <v>31</v>
      </c>
      <c r="I3" s="10">
        <v>6</v>
      </c>
      <c r="J3" s="1" t="s">
        <v>32</v>
      </c>
      <c r="K3" s="1" t="s">
        <v>41</v>
      </c>
      <c r="L3" s="1" t="s">
        <v>42</v>
      </c>
      <c r="M3" s="10">
        <v>3</v>
      </c>
      <c r="N3" s="10">
        <v>0</v>
      </c>
      <c r="O3" s="1" t="str">
        <f t="shared" ref="O3:O5" si="0">_xlfn.TEXTJOIN("-",TRUE,L3,K3)</f>
        <v>Hà Nội-Bồ Đề</v>
      </c>
    </row>
    <row r="4" spans="1:16" x14ac:dyDescent="0.25">
      <c r="A4" s="10">
        <v>3</v>
      </c>
      <c r="B4" s="10" t="s">
        <v>33</v>
      </c>
      <c r="C4" s="1" t="s">
        <v>34</v>
      </c>
      <c r="D4" s="1" t="s">
        <v>30</v>
      </c>
      <c r="E4" s="10">
        <v>22</v>
      </c>
      <c r="F4" s="10">
        <v>10</v>
      </c>
      <c r="G4" s="10">
        <v>2013</v>
      </c>
      <c r="H4" s="1" t="s">
        <v>31</v>
      </c>
      <c r="I4" s="10">
        <v>7</v>
      </c>
      <c r="J4" s="1" t="s">
        <v>35</v>
      </c>
      <c r="K4" s="1" t="s">
        <v>43</v>
      </c>
      <c r="L4" s="1" t="s">
        <v>44</v>
      </c>
      <c r="M4" s="10">
        <v>4</v>
      </c>
      <c r="N4" s="10">
        <v>0</v>
      </c>
      <c r="O4" s="1" t="str">
        <f t="shared" si="0"/>
        <v>Bắc Ninh-Từ Sơn</v>
      </c>
    </row>
    <row r="5" spans="1:16" x14ac:dyDescent="0.25">
      <c r="A5" s="10">
        <v>4</v>
      </c>
      <c r="B5" s="10" t="s">
        <v>36</v>
      </c>
      <c r="C5" s="1" t="s">
        <v>37</v>
      </c>
      <c r="D5" s="1" t="s">
        <v>30</v>
      </c>
      <c r="E5" s="10">
        <v>18</v>
      </c>
      <c r="F5" s="10">
        <v>11</v>
      </c>
      <c r="G5" s="10">
        <v>2013</v>
      </c>
      <c r="H5" s="1" t="s">
        <v>26</v>
      </c>
      <c r="I5" s="10">
        <v>7</v>
      </c>
      <c r="J5" s="1" t="s">
        <v>38</v>
      </c>
      <c r="K5" s="1" t="s">
        <v>45</v>
      </c>
      <c r="L5" s="1" t="s">
        <v>42</v>
      </c>
      <c r="M5" s="10">
        <v>4</v>
      </c>
      <c r="N5" s="10">
        <v>0</v>
      </c>
      <c r="O5" s="1" t="str">
        <f t="shared" si="0"/>
        <v>Hà Nội-Đại Mỗ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9087-F9F3-48CC-A2C1-13BB7B9D3CA8}">
  <dimension ref="A1:G8"/>
  <sheetViews>
    <sheetView workbookViewId="0">
      <selection activeCell="K12" sqref="K12"/>
    </sheetView>
  </sheetViews>
  <sheetFormatPr defaultRowHeight="15" x14ac:dyDescent="0.25"/>
  <cols>
    <col min="1" max="1" width="8.7109375" style="4" bestFit="1" customWidth="1"/>
    <col min="2" max="2" width="16.42578125" style="4" customWidth="1"/>
    <col min="3" max="3" width="12.5703125" style="4" customWidth="1"/>
  </cols>
  <sheetData>
    <row r="1" spans="1:7" ht="30" x14ac:dyDescent="0.25">
      <c r="A1" s="5" t="s">
        <v>14</v>
      </c>
      <c r="B1" s="5" t="s">
        <v>15</v>
      </c>
      <c r="C1" s="5" t="s">
        <v>16</v>
      </c>
      <c r="D1" s="3"/>
      <c r="E1" s="3"/>
      <c r="F1" s="3"/>
      <c r="G1" s="3"/>
    </row>
    <row r="2" spans="1:7" x14ac:dyDescent="0.25">
      <c r="A2" s="4">
        <v>1</v>
      </c>
      <c r="B2" s="4">
        <v>1</v>
      </c>
      <c r="C2" s="4">
        <v>30</v>
      </c>
      <c r="E2" s="7" t="s">
        <v>18</v>
      </c>
    </row>
    <row r="3" spans="1:7" x14ac:dyDescent="0.25">
      <c r="A3" s="4">
        <v>1</v>
      </c>
      <c r="B3" s="4">
        <v>2</v>
      </c>
      <c r="C3" s="4">
        <v>25</v>
      </c>
      <c r="E3" s="7" t="s">
        <v>19</v>
      </c>
    </row>
    <row r="4" spans="1:7" x14ac:dyDescent="0.25">
      <c r="A4" s="4">
        <v>1</v>
      </c>
      <c r="B4" s="4">
        <v>3</v>
      </c>
      <c r="C4" s="4">
        <v>32</v>
      </c>
    </row>
    <row r="5" spans="1:7" x14ac:dyDescent="0.25">
      <c r="A5" s="4">
        <v>2</v>
      </c>
      <c r="B5" s="4">
        <v>1</v>
      </c>
      <c r="C5" s="4">
        <v>20</v>
      </c>
    </row>
    <row r="6" spans="1:7" x14ac:dyDescent="0.25">
      <c r="A6" s="4">
        <v>2</v>
      </c>
      <c r="B6" s="4">
        <v>2</v>
      </c>
      <c r="C6" s="4">
        <v>15</v>
      </c>
    </row>
    <row r="7" spans="1:7" x14ac:dyDescent="0.25">
      <c r="A7" s="4">
        <v>2</v>
      </c>
      <c r="B7" s="4">
        <v>3</v>
      </c>
      <c r="C7" s="4">
        <v>25</v>
      </c>
    </row>
    <row r="8" spans="1:7" x14ac:dyDescent="0.25">
      <c r="A8" s="4" t="s">
        <v>17</v>
      </c>
      <c r="B8" s="4" t="s">
        <v>17</v>
      </c>
      <c r="C8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AE48-5728-4340-9BF7-630CF74129F2}">
  <dimension ref="A1:F6"/>
  <sheetViews>
    <sheetView workbookViewId="0">
      <selection activeCell="B1" sqref="A1:B1"/>
    </sheetView>
  </sheetViews>
  <sheetFormatPr defaultRowHeight="15" x14ac:dyDescent="0.25"/>
  <cols>
    <col min="1" max="1" width="23.28515625" style="12" customWidth="1"/>
    <col min="2" max="2" width="8.7109375" style="4" bestFit="1" customWidth="1"/>
  </cols>
  <sheetData>
    <row r="1" spans="1:6" x14ac:dyDescent="0.25">
      <c r="A1" s="11" t="s">
        <v>22</v>
      </c>
      <c r="B1" s="5" t="s">
        <v>14</v>
      </c>
      <c r="C1" s="3"/>
      <c r="D1" s="3"/>
      <c r="E1" s="3"/>
      <c r="F1" s="3"/>
    </row>
    <row r="2" spans="1:6" x14ac:dyDescent="0.25">
      <c r="A2" s="12" t="str" cm="1">
        <f t="array" ref="A2:A5">_xlfn._xlws.SORT(_xlfn.UNIQUE(_xlfn._xlws.FILTER('Học-sinh'!O2:O40000,'Học-sinh'!O2:O40000&lt;&gt;"")))</f>
        <v>Bắc Ninh-Từ Sơn</v>
      </c>
      <c r="B2" s="4">
        <v>1</v>
      </c>
      <c r="D2" s="7" t="s">
        <v>20</v>
      </c>
    </row>
    <row r="3" spans="1:6" x14ac:dyDescent="0.25">
      <c r="A3" s="12" t="str">
        <v>Hà Nội-Bồ Đề</v>
      </c>
      <c r="B3" s="4">
        <v>1</v>
      </c>
      <c r="D3" s="9" t="s">
        <v>46</v>
      </c>
    </row>
    <row r="4" spans="1:6" x14ac:dyDescent="0.25">
      <c r="A4" s="12" t="str">
        <v>Hà Nội-Đại Mỗ</v>
      </c>
      <c r="B4" s="4">
        <v>1</v>
      </c>
    </row>
    <row r="5" spans="1:6" x14ac:dyDescent="0.25">
      <c r="A5" s="12" t="str">
        <v>Hồ Chí Minh-Gò Vấp</v>
      </c>
      <c r="B5" s="4">
        <v>2</v>
      </c>
    </row>
    <row r="6" spans="1:6" x14ac:dyDescent="0.25">
      <c r="B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Học-sinh</vt:lpstr>
      <vt:lpstr>Điểm-thi</vt:lpstr>
      <vt:lpstr>Xếp-điểm-thi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 Support</dc:creator>
  <cp:lastModifiedBy>Edmicro Support</cp:lastModifiedBy>
  <dcterms:created xsi:type="dcterms:W3CDTF">2026-05-06T06:57:29Z</dcterms:created>
  <dcterms:modified xsi:type="dcterms:W3CDTF">2026-05-06T08:13:59Z</dcterms:modified>
</cp:coreProperties>
</file>